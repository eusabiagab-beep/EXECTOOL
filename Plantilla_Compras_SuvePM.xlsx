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usazon-my.sharepoint.com/personal/eusabiagab_susazon_com_mx/Documents/Proyecto CRM REST/"/>
    </mc:Choice>
  </mc:AlternateContent>
  <xr:revisionPtr revIDLastSave="0" documentId="8_{C1ECD9AD-568F-48C8-B889-182A805C5D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ventario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9" i="1"/>
  <c r="I10" i="1"/>
  <c r="I11" i="1"/>
  <c r="I12" i="1"/>
  <c r="I13" i="1"/>
  <c r="I14" i="1"/>
  <c r="I15" i="1"/>
  <c r="I16" i="1"/>
  <c r="I17" i="1"/>
  <c r="I18" i="1"/>
  <c r="I19" i="1"/>
  <c r="I2" i="1"/>
  <c r="H8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" i="1"/>
</calcChain>
</file>

<file path=xl/sharedStrings.xml><?xml version="1.0" encoding="utf-8"?>
<sst xmlns="http://schemas.openxmlformats.org/spreadsheetml/2006/main" count="357" uniqueCount="104">
  <si>
    <t>SKU</t>
  </si>
  <si>
    <t>Descripción</t>
  </si>
  <si>
    <t>Categoría</t>
  </si>
  <si>
    <t>UOM</t>
  </si>
  <si>
    <t>Inv_Inicial</t>
  </si>
  <si>
    <t>Compra</t>
  </si>
  <si>
    <t>Demanda</t>
  </si>
  <si>
    <t>Punto_Reorden</t>
  </si>
  <si>
    <t>Stock_Seguridad</t>
  </si>
  <si>
    <t>Precio</t>
  </si>
  <si>
    <t>Notas</t>
  </si>
  <si>
    <t>COI-00001</t>
  </si>
  <si>
    <t>CAMARON COCIDO 41-50 CAMANCHACA</t>
  </si>
  <si>
    <t>COI-00002</t>
  </si>
  <si>
    <t>FILETE DE TILAPIA 3-5OZ CAMANCHACA</t>
  </si>
  <si>
    <t>COI-00003</t>
  </si>
  <si>
    <t>FILETE DE TILAPIA 5-7 OZ CAMANCHACA</t>
  </si>
  <si>
    <t>COI-00004</t>
  </si>
  <si>
    <t>ATUN AHUMADO PORCION CAMANCHACA</t>
  </si>
  <si>
    <t>COI-00005</t>
  </si>
  <si>
    <t>CAMARON COCIDO 51-60 CAMANCHACA</t>
  </si>
  <si>
    <t>COI-00006</t>
  </si>
  <si>
    <t>MEDALLON DE ATUN CAMANCHACA</t>
  </si>
  <si>
    <t>MPPT-00002</t>
  </si>
  <si>
    <t>SALMON LOMO IMPORTADO CHILENO</t>
  </si>
  <si>
    <t>MPPT-00013</t>
  </si>
  <si>
    <t xml:space="preserve">FILETE BASSA 7-9 OZ  </t>
  </si>
  <si>
    <t>PTE-00037</t>
  </si>
  <si>
    <t xml:space="preserve">MEJILLON ENTERO  </t>
  </si>
  <si>
    <t>PTE-00038</t>
  </si>
  <si>
    <t xml:space="preserve">SALMON PORCION 6-8 OZ  </t>
  </si>
  <si>
    <t>PTE-00089</t>
  </si>
  <si>
    <t xml:space="preserve">SALMON SUMAR 100 GR  </t>
  </si>
  <si>
    <t>PTE-00090</t>
  </si>
  <si>
    <t xml:space="preserve">FILETE MERO 6-8 AL VACIO  </t>
  </si>
  <si>
    <t>PTE-00097</t>
  </si>
  <si>
    <t xml:space="preserve">SALMON SUMAR ENTERO  </t>
  </si>
  <si>
    <t>PTE-00107</t>
  </si>
  <si>
    <t>PULPO CRUDO 1-2</t>
  </si>
  <si>
    <t>PTE-00297</t>
  </si>
  <si>
    <t>CAMARÓN 21/25 PYD PREMIUM</t>
  </si>
  <si>
    <t>PTE-00298</t>
  </si>
  <si>
    <t>CAMARON 31/35 PYD PREMIUM</t>
  </si>
  <si>
    <t>PTG-00012</t>
  </si>
  <si>
    <t xml:space="preserve">FILETE BASSA COMERCIAL  </t>
  </si>
  <si>
    <t>PTG-00015</t>
  </si>
  <si>
    <t xml:space="preserve">FILETE DE TILAPIA 3-5 OZ  </t>
  </si>
  <si>
    <t xml:space="preserve">KG      </t>
  </si>
  <si>
    <t xml:space="preserve">PZ      </t>
  </si>
  <si>
    <t>P&amp;M</t>
  </si>
  <si>
    <t># Parte</t>
  </si>
  <si>
    <t>Parte</t>
  </si>
  <si>
    <t>Grupo</t>
  </si>
  <si>
    <t>Familia</t>
  </si>
  <si>
    <t>Origen</t>
  </si>
  <si>
    <t>Tipo</t>
  </si>
  <si>
    <t>UDM</t>
  </si>
  <si>
    <t>Unidades</t>
  </si>
  <si>
    <t>C/Promedio</t>
  </si>
  <si>
    <t>Planta</t>
  </si>
  <si>
    <t>Pescados Y Mariscos</t>
  </si>
  <si>
    <t>Catálogo Food Service</t>
  </si>
  <si>
    <t>Comprado</t>
  </si>
  <si>
    <t>Otro</t>
  </si>
  <si>
    <t>Materia Prima / Insumos / Procesos</t>
  </si>
  <si>
    <t>PTE-00039</t>
  </si>
  <si>
    <t xml:space="preserve">CAMARON PACOTILLA MEDIANO TRITON  </t>
  </si>
  <si>
    <t>Descatalogar</t>
  </si>
  <si>
    <t>PTE-00041</t>
  </si>
  <si>
    <t xml:space="preserve">ATUN SACKU PORCION  </t>
  </si>
  <si>
    <t>PTE-00052</t>
  </si>
  <si>
    <t xml:space="preserve">CAMARON PACOTILLA CHICO TRITON  </t>
  </si>
  <si>
    <t>PTE-00054</t>
  </si>
  <si>
    <t xml:space="preserve">ATUN EN LONJA SACKU  </t>
  </si>
  <si>
    <t>PTE-00056</t>
  </si>
  <si>
    <t xml:space="preserve">CALAMAR LOLIGO LIMPIO TUBO Y TENTACULOS  </t>
  </si>
  <si>
    <t>PTE-00057</t>
  </si>
  <si>
    <t xml:space="preserve">PULPO COCIDO  </t>
  </si>
  <si>
    <t>Manufacturado</t>
  </si>
  <si>
    <t>PTE-00099</t>
  </si>
  <si>
    <t xml:space="preserve">TRUCHA SALMONADA NATURAL  </t>
  </si>
  <si>
    <t>Catálogo Tiendas</t>
  </si>
  <si>
    <t>PTE-00100</t>
  </si>
  <si>
    <t xml:space="preserve">FILETE DE CATFISH AL VACIO 5-7  </t>
  </si>
  <si>
    <t>PTE-00101</t>
  </si>
  <si>
    <t xml:space="preserve">SALMON SUMAR 850 GR  </t>
  </si>
  <si>
    <t>PTE-00102</t>
  </si>
  <si>
    <t>SALMON AHUMADO ESPECIAL</t>
  </si>
  <si>
    <t>PTE-00109</t>
  </si>
  <si>
    <t xml:space="preserve">CAMARON U 15 MKTA CAJA  </t>
  </si>
  <si>
    <t>PTE-00139</t>
  </si>
  <si>
    <t xml:space="preserve">SALMON ENTERO FRESCO  </t>
  </si>
  <si>
    <t>PTE-00294</t>
  </si>
  <si>
    <t>CAMARON 31/35 CON CASCARA PREMIUM</t>
  </si>
  <si>
    <t>PTE-00295</t>
  </si>
  <si>
    <t>CAMARÓN 41/50 PYD PREMUIM</t>
  </si>
  <si>
    <t>PTE-00296</t>
  </si>
  <si>
    <t>CAMARÓN 41/50 CON CASCARA PREMIUM</t>
  </si>
  <si>
    <t>PTE-00302</t>
  </si>
  <si>
    <t>SALMON ENTERO IMP.</t>
  </si>
  <si>
    <t>PTG-00034</t>
  </si>
  <si>
    <t xml:space="preserve">SALMON AHUMADO SUSHITO  </t>
  </si>
  <si>
    <t>Total Acumulado(35) - Suma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</si>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</sst>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/>
    <xf numFmtId="4" fontId="0" fillId="0" borderId="0" xfId="0" applyNumberFormat="1" applyAlignment="1">
      <alignment horizontal="right" vertical="top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K3" sqref="K3:K19"/>
    </sheetView>
  </sheetViews>
  <sheetFormatPr baseColWidth="10" defaultRowHeight="14.5" x14ac:dyDescent="0.35"/>
  <cols>
    <col min="1" max="1" width="11.08203125" bestFit="1" customWidth="1"/>
    <col min="2" max="2" width="36.25" bestFit="1" customWidth="1"/>
  </cols>
  <sheetData>
    <row r="1" spans="1:11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5" x14ac:dyDescent="0.35">
      <c r="A2" s="1" t="s">
        <v>11</v>
      </c>
      <c r="B2" s="1" t="s">
        <v>12</v>
      </c>
      <c r="C2" t="s">
        <v>49</v>
      </c>
      <c r="D2" s="1" t="s">
        <v>47</v>
      </c>
      <c r="E2">
        <f>+VLOOKUP($B2,Hoja1!B:J,9,0)</f>
        <v>1000</v>
      </c>
      <c r="F2">
        <v>0</v>
      </c>
      <c r="G2">
        <v>150</v>
      </c>
      <c r="H2">
        <v>225</v>
      </c>
      <c r="I2">
        <f>+G2/2</f>
        <v>75</v>
      </c>
      <c r="J2">
        <v>0</v>
      </c>
      <c r="K2" t="s">
        <v>103</v>
      </c>
    </row>
    <row r="3" spans="1:11" ht="15.5" x14ac:dyDescent="0.35">
      <c r="A3" s="1" t="s">
        <v>13</v>
      </c>
      <c r="B3" s="1" t="s">
        <v>14</v>
      </c>
      <c r="C3" t="s">
        <v>49</v>
      </c>
      <c r="D3" s="1" t="s">
        <v>47</v>
      </c>
      <c r="E3">
        <f>+VLOOKUP($B3,Hoja1!B:J,9,0)</f>
        <v>643.98</v>
      </c>
      <c r="F3">
        <v>0</v>
      </c>
      <c r="G3">
        <v>100</v>
      </c>
      <c r="H3">
        <v>150</v>
      </c>
      <c r="I3">
        <f t="shared" ref="I3:I19" si="0">+G3/2</f>
        <v>50</v>
      </c>
      <c r="J3">
        <v>0</v>
      </c>
      <c r="K3" t="s">
        <v>103</v>
      </c>
    </row>
    <row r="4" spans="1:11" ht="15.5" x14ac:dyDescent="0.35">
      <c r="A4" s="1" t="s">
        <v>15</v>
      </c>
      <c r="B4" s="1" t="s">
        <v>16</v>
      </c>
      <c r="C4" t="s">
        <v>49</v>
      </c>
      <c r="D4" s="1" t="s">
        <v>47</v>
      </c>
      <c r="E4">
        <f>+VLOOKUP($B4,Hoja1!B:J,9,0)</f>
        <v>671.92</v>
      </c>
      <c r="F4">
        <v>0</v>
      </c>
      <c r="G4">
        <v>100</v>
      </c>
      <c r="H4">
        <v>150</v>
      </c>
      <c r="I4">
        <f t="shared" si="0"/>
        <v>50</v>
      </c>
      <c r="J4">
        <v>0</v>
      </c>
      <c r="K4" t="s">
        <v>103</v>
      </c>
    </row>
    <row r="5" spans="1:11" ht="15.5" x14ac:dyDescent="0.35">
      <c r="A5" s="1" t="s">
        <v>17</v>
      </c>
      <c r="B5" s="1" t="s">
        <v>18</v>
      </c>
      <c r="C5" t="s">
        <v>49</v>
      </c>
      <c r="D5" s="1" t="s">
        <v>47</v>
      </c>
      <c r="E5">
        <f>+VLOOKUP($B5,Hoja1!B:J,9,0)</f>
        <v>235</v>
      </c>
      <c r="F5">
        <v>0</v>
      </c>
      <c r="G5">
        <v>40</v>
      </c>
      <c r="H5">
        <v>60</v>
      </c>
      <c r="I5">
        <f t="shared" si="0"/>
        <v>20</v>
      </c>
      <c r="J5">
        <v>0</v>
      </c>
      <c r="K5" t="s">
        <v>103</v>
      </c>
    </row>
    <row r="6" spans="1:11" ht="15.5" x14ac:dyDescent="0.35">
      <c r="A6" s="1" t="s">
        <v>19</v>
      </c>
      <c r="B6" s="1" t="s">
        <v>20</v>
      </c>
      <c r="C6" t="s">
        <v>49</v>
      </c>
      <c r="D6" s="1" t="s">
        <v>47</v>
      </c>
      <c r="E6">
        <f>+VLOOKUP($B6,Hoja1!B:J,9,0)</f>
        <v>1020</v>
      </c>
      <c r="F6">
        <v>0</v>
      </c>
      <c r="G6">
        <v>150</v>
      </c>
      <c r="H6">
        <v>225</v>
      </c>
      <c r="I6">
        <f t="shared" si="0"/>
        <v>75</v>
      </c>
      <c r="J6">
        <v>0</v>
      </c>
      <c r="K6" t="s">
        <v>103</v>
      </c>
    </row>
    <row r="7" spans="1:11" ht="15.5" x14ac:dyDescent="0.35">
      <c r="A7" s="1" t="s">
        <v>21</v>
      </c>
      <c r="B7" s="1" t="s">
        <v>22</v>
      </c>
      <c r="C7" t="s">
        <v>49</v>
      </c>
      <c r="D7" s="1" t="s">
        <v>47</v>
      </c>
      <c r="E7">
        <f>+VLOOKUP($B7,Hoja1!B:J,9,0)</f>
        <v>820</v>
      </c>
      <c r="F7">
        <v>0</v>
      </c>
      <c r="G7">
        <v>150</v>
      </c>
      <c r="H7">
        <v>225</v>
      </c>
      <c r="I7">
        <f t="shared" si="0"/>
        <v>75</v>
      </c>
      <c r="J7">
        <v>0</v>
      </c>
      <c r="K7" t="s">
        <v>103</v>
      </c>
    </row>
    <row r="8" spans="1:11" ht="15.5" x14ac:dyDescent="0.35">
      <c r="A8" s="1" t="s">
        <v>23</v>
      </c>
      <c r="B8" s="1" t="s">
        <v>24</v>
      </c>
      <c r="C8" t="s">
        <v>49</v>
      </c>
      <c r="D8" s="1" t="s">
        <v>47</v>
      </c>
      <c r="E8">
        <v>35485.5</v>
      </c>
      <c r="F8">
        <v>0</v>
      </c>
      <c r="G8">
        <v>3000</v>
      </c>
      <c r="H8">
        <f>+G8*4</f>
        <v>12000</v>
      </c>
      <c r="I8">
        <v>3000</v>
      </c>
      <c r="J8">
        <v>0</v>
      </c>
      <c r="K8" t="s">
        <v>103</v>
      </c>
    </row>
    <row r="9" spans="1:11" ht="15.5" x14ac:dyDescent="0.35">
      <c r="A9" s="1" t="s">
        <v>25</v>
      </c>
      <c r="B9" s="1" t="s">
        <v>26</v>
      </c>
      <c r="C9" t="s">
        <v>49</v>
      </c>
      <c r="D9" s="1" t="s">
        <v>47</v>
      </c>
      <c r="E9">
        <f>+VLOOKUP($B9,Hoja1!B:J,9,0)</f>
        <v>1195</v>
      </c>
      <c r="F9">
        <v>0</v>
      </c>
      <c r="G9">
        <v>250</v>
      </c>
      <c r="H9">
        <v>375</v>
      </c>
      <c r="I9">
        <f t="shared" si="0"/>
        <v>125</v>
      </c>
      <c r="J9">
        <v>0</v>
      </c>
      <c r="K9" t="s">
        <v>103</v>
      </c>
    </row>
    <row r="10" spans="1:11" ht="15.5" x14ac:dyDescent="0.35">
      <c r="A10" s="1" t="s">
        <v>27</v>
      </c>
      <c r="B10" s="1" t="s">
        <v>28</v>
      </c>
      <c r="C10" t="s">
        <v>49</v>
      </c>
      <c r="D10" s="1" t="s">
        <v>47</v>
      </c>
      <c r="E10">
        <f>+VLOOKUP($B10,Hoja1!B:J,9,0)</f>
        <v>506.5</v>
      </c>
      <c r="F10">
        <v>0</v>
      </c>
      <c r="G10">
        <v>100</v>
      </c>
      <c r="H10">
        <v>150</v>
      </c>
      <c r="I10">
        <f t="shared" si="0"/>
        <v>50</v>
      </c>
      <c r="J10">
        <v>0</v>
      </c>
      <c r="K10" t="s">
        <v>103</v>
      </c>
    </row>
    <row r="11" spans="1:11" ht="15.5" x14ac:dyDescent="0.35">
      <c r="A11" s="1" t="s">
        <v>29</v>
      </c>
      <c r="B11" s="1" t="s">
        <v>30</v>
      </c>
      <c r="C11" t="s">
        <v>49</v>
      </c>
      <c r="D11" s="1" t="s">
        <v>47</v>
      </c>
      <c r="E11">
        <f>+VLOOKUP($B11,Hoja1!B:J,9,0)</f>
        <v>4745</v>
      </c>
      <c r="F11">
        <v>0</v>
      </c>
      <c r="G11">
        <v>500</v>
      </c>
      <c r="H11">
        <v>750</v>
      </c>
      <c r="I11">
        <f t="shared" si="0"/>
        <v>250</v>
      </c>
      <c r="J11">
        <v>0</v>
      </c>
      <c r="K11" t="s">
        <v>103</v>
      </c>
    </row>
    <row r="12" spans="1:11" ht="15.5" x14ac:dyDescent="0.35">
      <c r="A12" s="1" t="s">
        <v>31</v>
      </c>
      <c r="B12" s="1" t="s">
        <v>32</v>
      </c>
      <c r="C12" t="s">
        <v>49</v>
      </c>
      <c r="D12" s="1" t="s">
        <v>48</v>
      </c>
      <c r="E12">
        <f>+VLOOKUP($B12,Hoja1!B:J,9,0)</f>
        <v>343</v>
      </c>
      <c r="F12">
        <v>0</v>
      </c>
      <c r="G12">
        <v>50</v>
      </c>
      <c r="H12">
        <v>75</v>
      </c>
      <c r="I12">
        <f t="shared" si="0"/>
        <v>25</v>
      </c>
      <c r="J12">
        <v>0</v>
      </c>
      <c r="K12" t="s">
        <v>103</v>
      </c>
    </row>
    <row r="13" spans="1:11" ht="15.5" x14ac:dyDescent="0.35">
      <c r="A13" s="1" t="s">
        <v>33</v>
      </c>
      <c r="B13" s="1" t="s">
        <v>34</v>
      </c>
      <c r="C13" t="s">
        <v>49</v>
      </c>
      <c r="D13" s="1" t="s">
        <v>47</v>
      </c>
      <c r="E13">
        <f>+VLOOKUP($B13,Hoja1!B:J,9,0)</f>
        <v>320.60000000000002</v>
      </c>
      <c r="F13">
        <v>0</v>
      </c>
      <c r="G13">
        <v>50</v>
      </c>
      <c r="H13">
        <v>75</v>
      </c>
      <c r="I13">
        <f t="shared" si="0"/>
        <v>25</v>
      </c>
      <c r="J13">
        <v>0</v>
      </c>
      <c r="K13" t="s">
        <v>103</v>
      </c>
    </row>
    <row r="14" spans="1:11" ht="15.5" x14ac:dyDescent="0.35">
      <c r="A14" s="1" t="s">
        <v>35</v>
      </c>
      <c r="B14" s="1" t="s">
        <v>36</v>
      </c>
      <c r="C14" t="s">
        <v>49</v>
      </c>
      <c r="D14" s="1" t="s">
        <v>47</v>
      </c>
      <c r="E14">
        <f>+VLOOKUP($B14,Hoja1!B:J,9,0)</f>
        <v>436.9</v>
      </c>
      <c r="F14">
        <v>0</v>
      </c>
      <c r="G14">
        <v>100</v>
      </c>
      <c r="H14">
        <v>150</v>
      </c>
      <c r="I14">
        <f t="shared" si="0"/>
        <v>50</v>
      </c>
      <c r="J14">
        <v>0</v>
      </c>
      <c r="K14" t="s">
        <v>103</v>
      </c>
    </row>
    <row r="15" spans="1:11" ht="15.5" x14ac:dyDescent="0.35">
      <c r="A15" s="1" t="s">
        <v>37</v>
      </c>
      <c r="B15" s="1" t="s">
        <v>38</v>
      </c>
      <c r="C15" t="s">
        <v>49</v>
      </c>
      <c r="D15" s="1" t="s">
        <v>47</v>
      </c>
      <c r="E15">
        <f>+VLOOKUP($B15,Hoja1!B:J,9,0)</f>
        <v>1278.3800000000001</v>
      </c>
      <c r="F15">
        <v>0</v>
      </c>
      <c r="G15">
        <v>50</v>
      </c>
      <c r="H15">
        <v>75</v>
      </c>
      <c r="I15">
        <f t="shared" si="0"/>
        <v>25</v>
      </c>
      <c r="J15">
        <v>0</v>
      </c>
      <c r="K15" t="s">
        <v>103</v>
      </c>
    </row>
    <row r="16" spans="1:11" ht="15.5" x14ac:dyDescent="0.35">
      <c r="A16" s="1" t="s">
        <v>39</v>
      </c>
      <c r="B16" s="1" t="s">
        <v>40</v>
      </c>
      <c r="C16" t="s">
        <v>49</v>
      </c>
      <c r="D16" s="1" t="s">
        <v>47</v>
      </c>
      <c r="E16">
        <f>+VLOOKUP($B16,Hoja1!B:J,9,0)</f>
        <v>677.5</v>
      </c>
      <c r="F16">
        <v>0</v>
      </c>
      <c r="G16">
        <v>100</v>
      </c>
      <c r="H16">
        <v>150</v>
      </c>
      <c r="I16">
        <f t="shared" si="0"/>
        <v>50</v>
      </c>
      <c r="J16">
        <v>0</v>
      </c>
      <c r="K16" t="s">
        <v>103</v>
      </c>
    </row>
    <row r="17" spans="1:11" ht="15.5" x14ac:dyDescent="0.35">
      <c r="A17" s="1" t="s">
        <v>41</v>
      </c>
      <c r="B17" s="1" t="s">
        <v>42</v>
      </c>
      <c r="C17" t="s">
        <v>49</v>
      </c>
      <c r="D17" s="1" t="s">
        <v>47</v>
      </c>
      <c r="E17">
        <f>+VLOOKUP($B17,Hoja1!B:J,9,0)</f>
        <v>1739.61</v>
      </c>
      <c r="F17">
        <v>0</v>
      </c>
      <c r="G17">
        <v>100</v>
      </c>
      <c r="H17">
        <v>150</v>
      </c>
      <c r="I17">
        <f t="shared" si="0"/>
        <v>50</v>
      </c>
      <c r="J17">
        <v>0</v>
      </c>
      <c r="K17" t="s">
        <v>103</v>
      </c>
    </row>
    <row r="18" spans="1:11" ht="15.5" x14ac:dyDescent="0.35">
      <c r="A18" s="1" t="s">
        <v>43</v>
      </c>
      <c r="B18" s="1" t="s">
        <v>44</v>
      </c>
      <c r="C18" t="s">
        <v>49</v>
      </c>
      <c r="D18" s="1" t="s">
        <v>47</v>
      </c>
      <c r="E18">
        <f>+VLOOKUP($B18,Hoja1!B:J,9,0)</f>
        <v>182.8</v>
      </c>
      <c r="F18">
        <v>0</v>
      </c>
      <c r="G18">
        <v>100</v>
      </c>
      <c r="H18">
        <v>150</v>
      </c>
      <c r="I18">
        <f t="shared" si="0"/>
        <v>50</v>
      </c>
      <c r="J18">
        <v>0</v>
      </c>
      <c r="K18" t="s">
        <v>103</v>
      </c>
    </row>
    <row r="19" spans="1:11" ht="15.5" x14ac:dyDescent="0.35">
      <c r="A19" s="1" t="s">
        <v>45</v>
      </c>
      <c r="B19" s="1" t="s">
        <v>46</v>
      </c>
      <c r="C19" t="s">
        <v>49</v>
      </c>
      <c r="D19" s="1" t="s">
        <v>47</v>
      </c>
      <c r="E19">
        <f>+VLOOKUP($B19,Hoja1!B:J,9,0)</f>
        <v>976.1</v>
      </c>
      <c r="F19">
        <v>0</v>
      </c>
      <c r="G19">
        <v>200</v>
      </c>
      <c r="H19">
        <v>300</v>
      </c>
      <c r="I19">
        <f t="shared" si="0"/>
        <v>100</v>
      </c>
      <c r="J19">
        <v>0</v>
      </c>
      <c r="K19" t="s">
        <v>103</v>
      </c>
    </row>
    <row r="20" spans="1:11" ht="15.5" x14ac:dyDescent="0.35"/>
  </sheetData>
  <pageMargins left="0.7" right="0.7" top="0.75" bottom="0.75" header="0.3" footer="0.3"/>
  <ignoredErrors>
    <ignoredError sqref="A1: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8940F-0144-439A-BBDE-8ACADF712DE3}">
  <dimension ref="A1:J38"/>
  <sheetViews>
    <sheetView topLeftCell="C1" workbookViewId="0">
      <selection sqref="A1:XFD1048576"/>
    </sheetView>
  </sheetViews>
  <sheetFormatPr baseColWidth="10" defaultColWidth="8" defaultRowHeight="15.5" x14ac:dyDescent="0.35"/>
  <cols>
    <col min="1" max="1" width="29.08203125" style="4" bestFit="1" customWidth="1"/>
    <col min="2" max="2" width="45.33203125" style="4" bestFit="1" customWidth="1"/>
    <col min="3" max="3" width="21.5" style="4" bestFit="1" customWidth="1"/>
    <col min="4" max="4" width="37.6640625" style="4" bestFit="1" customWidth="1"/>
    <col min="5" max="5" width="9.6640625" style="4" bestFit="1" customWidth="1"/>
    <col min="6" max="6" width="15.08203125" style="4" bestFit="1" customWidth="1"/>
    <col min="7" max="7" width="9.6640625" style="4" bestFit="1" customWidth="1"/>
    <col min="8" max="8" width="10.75" style="4" bestFit="1" customWidth="1"/>
    <col min="9" max="9" width="11.75" style="4" bestFit="1" customWidth="1"/>
    <col min="10" max="10" width="10.75" style="4" bestFit="1" customWidth="1"/>
    <col min="11" max="16384" width="8" style="4"/>
  </cols>
  <sheetData>
    <row r="1" spans="1:10" x14ac:dyDescent="0.35">
      <c r="A1" s="2" t="s">
        <v>50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3" t="s">
        <v>57</v>
      </c>
      <c r="I1" s="3" t="s">
        <v>58</v>
      </c>
      <c r="J1" s="3" t="s">
        <v>59</v>
      </c>
    </row>
    <row r="2" spans="1:10" x14ac:dyDescent="0.35">
      <c r="A2" s="1" t="s">
        <v>11</v>
      </c>
      <c r="B2" s="1" t="s">
        <v>12</v>
      </c>
      <c r="C2" s="1" t="s">
        <v>60</v>
      </c>
      <c r="D2" s="1" t="s">
        <v>61</v>
      </c>
      <c r="E2" s="1" t="s">
        <v>62</v>
      </c>
      <c r="F2" s="1" t="s">
        <v>62</v>
      </c>
      <c r="G2" s="1" t="s">
        <v>47</v>
      </c>
      <c r="H2" s="5">
        <v>1032</v>
      </c>
      <c r="I2" s="5">
        <v>143</v>
      </c>
      <c r="J2" s="5">
        <v>1000</v>
      </c>
    </row>
    <row r="3" spans="1:10" x14ac:dyDescent="0.35">
      <c r="A3" s="1" t="s">
        <v>13</v>
      </c>
      <c r="B3" s="1" t="s">
        <v>14</v>
      </c>
      <c r="C3" s="1" t="s">
        <v>60</v>
      </c>
      <c r="D3" s="1" t="s">
        <v>61</v>
      </c>
      <c r="E3" s="1" t="s">
        <v>62</v>
      </c>
      <c r="F3" s="1" t="s">
        <v>62</v>
      </c>
      <c r="G3" s="1" t="s">
        <v>47</v>
      </c>
      <c r="H3" s="5">
        <v>769.7</v>
      </c>
      <c r="I3" s="5">
        <v>75</v>
      </c>
      <c r="J3" s="5">
        <v>643.98</v>
      </c>
    </row>
    <row r="4" spans="1:10" x14ac:dyDescent="0.35">
      <c r="A4" s="1" t="s">
        <v>15</v>
      </c>
      <c r="B4" s="1" t="s">
        <v>16</v>
      </c>
      <c r="C4" s="1" t="s">
        <v>60</v>
      </c>
      <c r="D4" s="1" t="s">
        <v>61</v>
      </c>
      <c r="E4" s="1" t="s">
        <v>62</v>
      </c>
      <c r="F4" s="1" t="s">
        <v>62</v>
      </c>
      <c r="G4" s="1" t="s">
        <v>47</v>
      </c>
      <c r="H4" s="5">
        <v>682.18</v>
      </c>
      <c r="I4" s="5">
        <v>75</v>
      </c>
      <c r="J4" s="5">
        <v>671.92</v>
      </c>
    </row>
    <row r="5" spans="1:10" x14ac:dyDescent="0.35">
      <c r="A5" s="1" t="s">
        <v>17</v>
      </c>
      <c r="B5" s="1" t="s">
        <v>18</v>
      </c>
      <c r="C5" s="1" t="s">
        <v>60</v>
      </c>
      <c r="D5" s="1" t="s">
        <v>61</v>
      </c>
      <c r="E5" s="1" t="s">
        <v>62</v>
      </c>
      <c r="F5" s="1" t="s">
        <v>62</v>
      </c>
      <c r="G5" s="1" t="s">
        <v>47</v>
      </c>
      <c r="H5" s="5">
        <v>244.6</v>
      </c>
      <c r="I5" s="5">
        <v>175</v>
      </c>
      <c r="J5" s="5">
        <v>235</v>
      </c>
    </row>
    <row r="6" spans="1:10" x14ac:dyDescent="0.35">
      <c r="A6" s="1" t="s">
        <v>19</v>
      </c>
      <c r="B6" s="1" t="s">
        <v>20</v>
      </c>
      <c r="C6" s="1" t="s">
        <v>60</v>
      </c>
      <c r="D6" s="1" t="s">
        <v>61</v>
      </c>
      <c r="E6" s="1" t="s">
        <v>62</v>
      </c>
      <c r="F6" s="1" t="s">
        <v>62</v>
      </c>
      <c r="G6" s="1" t="s">
        <v>47</v>
      </c>
      <c r="H6" s="5">
        <v>1093</v>
      </c>
      <c r="I6" s="5">
        <v>136</v>
      </c>
      <c r="J6" s="5">
        <v>1020</v>
      </c>
    </row>
    <row r="7" spans="1:10" x14ac:dyDescent="0.35">
      <c r="A7" s="1" t="s">
        <v>21</v>
      </c>
      <c r="B7" s="1" t="s">
        <v>22</v>
      </c>
      <c r="C7" s="1" t="s">
        <v>60</v>
      </c>
      <c r="D7" s="1" t="s">
        <v>61</v>
      </c>
      <c r="E7" s="1" t="s">
        <v>62</v>
      </c>
      <c r="F7" s="1" t="s">
        <v>62</v>
      </c>
      <c r="G7" s="1" t="s">
        <v>47</v>
      </c>
      <c r="H7" s="5">
        <v>872</v>
      </c>
      <c r="I7" s="5">
        <v>179</v>
      </c>
      <c r="J7" s="5">
        <v>820</v>
      </c>
    </row>
    <row r="8" spans="1:10" x14ac:dyDescent="0.35">
      <c r="A8" s="1" t="s">
        <v>23</v>
      </c>
      <c r="B8" s="1" t="s">
        <v>24</v>
      </c>
      <c r="C8" s="1" t="s">
        <v>60</v>
      </c>
      <c r="D8" s="1" t="s">
        <v>61</v>
      </c>
      <c r="E8" s="1" t="s">
        <v>63</v>
      </c>
      <c r="F8" s="1" t="s">
        <v>62</v>
      </c>
      <c r="G8" s="1" t="s">
        <v>47</v>
      </c>
      <c r="H8" s="5">
        <v>15234.369000000001</v>
      </c>
      <c r="I8" s="5">
        <v>221.58420000000001</v>
      </c>
      <c r="J8" s="5">
        <v>12785.5</v>
      </c>
    </row>
    <row r="9" spans="1:10" x14ac:dyDescent="0.35">
      <c r="A9" s="1" t="s">
        <v>25</v>
      </c>
      <c r="B9" s="1" t="s">
        <v>26</v>
      </c>
      <c r="C9" s="1" t="s">
        <v>60</v>
      </c>
      <c r="D9" s="1" t="s">
        <v>64</v>
      </c>
      <c r="E9" s="1" t="s">
        <v>63</v>
      </c>
      <c r="F9" s="1" t="s">
        <v>62</v>
      </c>
      <c r="G9" s="1" t="s">
        <v>47</v>
      </c>
      <c r="H9" s="5">
        <v>1195</v>
      </c>
      <c r="I9" s="5">
        <v>51</v>
      </c>
      <c r="J9" s="5">
        <v>1195</v>
      </c>
    </row>
    <row r="10" spans="1:10" x14ac:dyDescent="0.35">
      <c r="A10" s="1" t="s">
        <v>27</v>
      </c>
      <c r="B10" s="1" t="s">
        <v>28</v>
      </c>
      <c r="C10" s="1" t="s">
        <v>60</v>
      </c>
      <c r="D10" s="1" t="s">
        <v>61</v>
      </c>
      <c r="E10" s="1" t="s">
        <v>63</v>
      </c>
      <c r="F10" s="1" t="s">
        <v>62</v>
      </c>
      <c r="G10" s="1" t="s">
        <v>47</v>
      </c>
      <c r="H10" s="5">
        <v>613</v>
      </c>
      <c r="I10" s="5">
        <v>61.658864999999999</v>
      </c>
      <c r="J10" s="5">
        <v>506.5</v>
      </c>
    </row>
    <row r="11" spans="1:10" x14ac:dyDescent="0.35">
      <c r="A11" s="1" t="s">
        <v>29</v>
      </c>
      <c r="B11" s="1" t="s">
        <v>30</v>
      </c>
      <c r="C11" s="1" t="s">
        <v>60</v>
      </c>
      <c r="D11" s="1" t="s">
        <v>61</v>
      </c>
      <c r="E11" s="1" t="s">
        <v>63</v>
      </c>
      <c r="F11" s="1" t="s">
        <v>62</v>
      </c>
      <c r="G11" s="1" t="s">
        <v>47</v>
      </c>
      <c r="H11" s="5">
        <v>5038.43</v>
      </c>
      <c r="I11" s="5">
        <v>251.93879699999999</v>
      </c>
      <c r="J11" s="5">
        <v>4745</v>
      </c>
    </row>
    <row r="12" spans="1:10" x14ac:dyDescent="0.35">
      <c r="A12" s="1" t="s">
        <v>65</v>
      </c>
      <c r="B12" s="1" t="s">
        <v>66</v>
      </c>
      <c r="C12" s="1" t="s">
        <v>60</v>
      </c>
      <c r="D12" s="1" t="s">
        <v>67</v>
      </c>
      <c r="E12" s="1" t="s">
        <v>63</v>
      </c>
      <c r="F12" s="1" t="s">
        <v>62</v>
      </c>
      <c r="G12" s="1" t="s">
        <v>47</v>
      </c>
      <c r="H12" s="5">
        <v>22.1</v>
      </c>
      <c r="I12" s="5">
        <v>102.0886</v>
      </c>
      <c r="J12" s="5">
        <v>9.8000000000000007</v>
      </c>
    </row>
    <row r="13" spans="1:10" x14ac:dyDescent="0.35">
      <c r="A13" s="1" t="s">
        <v>68</v>
      </c>
      <c r="B13" s="1" t="s">
        <v>69</v>
      </c>
      <c r="C13" s="1" t="s">
        <v>60</v>
      </c>
      <c r="D13" s="1" t="s">
        <v>67</v>
      </c>
      <c r="E13" s="1" t="s">
        <v>63</v>
      </c>
      <c r="F13" s="1" t="s">
        <v>62</v>
      </c>
      <c r="G13" s="1" t="s">
        <v>47</v>
      </c>
      <c r="H13" s="5">
        <v>40</v>
      </c>
      <c r="I13" s="5">
        <v>184.02619999999999</v>
      </c>
      <c r="J13" s="5">
        <v>40</v>
      </c>
    </row>
    <row r="14" spans="1:10" x14ac:dyDescent="0.35">
      <c r="A14" s="1" t="s">
        <v>70</v>
      </c>
      <c r="B14" s="1" t="s">
        <v>71</v>
      </c>
      <c r="C14" s="1" t="s">
        <v>60</v>
      </c>
      <c r="D14" s="1" t="s">
        <v>67</v>
      </c>
      <c r="E14" s="1" t="s">
        <v>63</v>
      </c>
      <c r="F14" s="1" t="s">
        <v>62</v>
      </c>
      <c r="G14" s="1" t="s">
        <v>47</v>
      </c>
      <c r="H14" s="5">
        <v>77.400000000000006</v>
      </c>
      <c r="I14" s="5">
        <v>94.182299999999998</v>
      </c>
      <c r="J14" s="5">
        <v>20.399999999999999</v>
      </c>
    </row>
    <row r="15" spans="1:10" x14ac:dyDescent="0.35">
      <c r="A15" s="1" t="s">
        <v>72</v>
      </c>
      <c r="B15" s="1" t="s">
        <v>73</v>
      </c>
      <c r="C15" s="1" t="s">
        <v>60</v>
      </c>
      <c r="D15" s="1" t="s">
        <v>67</v>
      </c>
      <c r="E15" s="1" t="s">
        <v>63</v>
      </c>
      <c r="F15" s="1" t="s">
        <v>62</v>
      </c>
      <c r="G15" s="1" t="s">
        <v>47</v>
      </c>
      <c r="H15" s="5">
        <v>9.85</v>
      </c>
      <c r="I15" s="5">
        <v>186.65610000000001</v>
      </c>
      <c r="J15" s="5">
        <v>0</v>
      </c>
    </row>
    <row r="16" spans="1:10" x14ac:dyDescent="0.35">
      <c r="A16" s="1" t="s">
        <v>74</v>
      </c>
      <c r="B16" s="1" t="s">
        <v>75</v>
      </c>
      <c r="C16" s="1" t="s">
        <v>60</v>
      </c>
      <c r="D16" s="1" t="s">
        <v>67</v>
      </c>
      <c r="E16" s="1" t="s">
        <v>63</v>
      </c>
      <c r="F16" s="1" t="s">
        <v>62</v>
      </c>
      <c r="G16" s="1" t="s">
        <v>47</v>
      </c>
      <c r="H16" s="5">
        <v>45.36</v>
      </c>
      <c r="I16" s="5">
        <v>132.07371499999999</v>
      </c>
      <c r="J16" s="5">
        <v>45.36</v>
      </c>
    </row>
    <row r="17" spans="1:10" x14ac:dyDescent="0.35">
      <c r="A17" s="1" t="s">
        <v>76</v>
      </c>
      <c r="B17" s="1" t="s">
        <v>77</v>
      </c>
      <c r="C17" s="1" t="s">
        <v>60</v>
      </c>
      <c r="D17" s="1" t="s">
        <v>67</v>
      </c>
      <c r="E17" s="1" t="s">
        <v>63</v>
      </c>
      <c r="F17" s="1" t="s">
        <v>62</v>
      </c>
      <c r="G17" s="1" t="s">
        <v>47</v>
      </c>
      <c r="H17" s="5">
        <v>7.88</v>
      </c>
      <c r="I17" s="5">
        <v>361.25</v>
      </c>
      <c r="J17" s="5">
        <v>7.88</v>
      </c>
    </row>
    <row r="18" spans="1:10" x14ac:dyDescent="0.35">
      <c r="A18" s="1" t="s">
        <v>31</v>
      </c>
      <c r="B18" s="1" t="s">
        <v>32</v>
      </c>
      <c r="C18" s="1" t="s">
        <v>60</v>
      </c>
      <c r="D18" s="1" t="s">
        <v>61</v>
      </c>
      <c r="E18" s="1" t="s">
        <v>63</v>
      </c>
      <c r="F18" s="1" t="s">
        <v>78</v>
      </c>
      <c r="G18" s="1" t="s">
        <v>48</v>
      </c>
      <c r="H18" s="5">
        <v>492</v>
      </c>
      <c r="I18" s="5">
        <v>38.486719999999998</v>
      </c>
      <c r="J18" s="5">
        <v>343</v>
      </c>
    </row>
    <row r="19" spans="1:10" x14ac:dyDescent="0.35">
      <c r="A19" s="1" t="s">
        <v>33</v>
      </c>
      <c r="B19" s="1" t="s">
        <v>34</v>
      </c>
      <c r="C19" s="1" t="s">
        <v>60</v>
      </c>
      <c r="D19" s="1" t="s">
        <v>61</v>
      </c>
      <c r="E19" s="1" t="s">
        <v>63</v>
      </c>
      <c r="F19" s="1" t="s">
        <v>78</v>
      </c>
      <c r="G19" s="1" t="s">
        <v>47</v>
      </c>
      <c r="H19" s="5">
        <v>492.77</v>
      </c>
      <c r="I19" s="5">
        <v>77.129243000000002</v>
      </c>
      <c r="J19" s="5">
        <v>320.60000000000002</v>
      </c>
    </row>
    <row r="20" spans="1:10" x14ac:dyDescent="0.35">
      <c r="A20" s="1" t="s">
        <v>35</v>
      </c>
      <c r="B20" s="1" t="s">
        <v>36</v>
      </c>
      <c r="C20" s="1" t="s">
        <v>60</v>
      </c>
      <c r="D20" s="1" t="s">
        <v>61</v>
      </c>
      <c r="E20" s="1" t="s">
        <v>63</v>
      </c>
      <c r="F20" s="1" t="s">
        <v>78</v>
      </c>
      <c r="G20" s="1" t="s">
        <v>47</v>
      </c>
      <c r="H20" s="5">
        <v>751.87</v>
      </c>
      <c r="I20" s="5">
        <v>246.72972100000001</v>
      </c>
      <c r="J20" s="5">
        <v>436.9</v>
      </c>
    </row>
    <row r="21" spans="1:10" x14ac:dyDescent="0.35">
      <c r="A21" s="1" t="s">
        <v>79</v>
      </c>
      <c r="B21" s="1" t="s">
        <v>80</v>
      </c>
      <c r="C21" s="1" t="s">
        <v>60</v>
      </c>
      <c r="D21" s="1" t="s">
        <v>81</v>
      </c>
      <c r="E21" s="1" t="s">
        <v>63</v>
      </c>
      <c r="F21" s="1" t="s">
        <v>62</v>
      </c>
      <c r="G21" s="1" t="s">
        <v>48</v>
      </c>
      <c r="H21" s="5">
        <v>156</v>
      </c>
      <c r="I21" s="5">
        <v>58.517000000000003</v>
      </c>
      <c r="J21" s="5">
        <v>153</v>
      </c>
    </row>
    <row r="22" spans="1:10" x14ac:dyDescent="0.35">
      <c r="A22" s="1" t="s">
        <v>82</v>
      </c>
      <c r="B22" s="1" t="s">
        <v>83</v>
      </c>
      <c r="C22" s="1" t="s">
        <v>60</v>
      </c>
      <c r="D22" s="1" t="s">
        <v>67</v>
      </c>
      <c r="E22" s="1" t="s">
        <v>63</v>
      </c>
      <c r="F22" s="1" t="s">
        <v>78</v>
      </c>
      <c r="G22" s="1" t="s">
        <v>47</v>
      </c>
      <c r="H22" s="5">
        <v>15.2</v>
      </c>
      <c r="I22" s="5">
        <v>57.128300000000003</v>
      </c>
      <c r="J22" s="5">
        <v>0</v>
      </c>
    </row>
    <row r="23" spans="1:10" x14ac:dyDescent="0.35">
      <c r="A23" s="1" t="s">
        <v>84</v>
      </c>
      <c r="B23" s="1" t="s">
        <v>85</v>
      </c>
      <c r="C23" s="1" t="s">
        <v>60</v>
      </c>
      <c r="D23" s="1" t="s">
        <v>67</v>
      </c>
      <c r="E23" s="1" t="s">
        <v>63</v>
      </c>
      <c r="F23" s="1" t="s">
        <v>78</v>
      </c>
      <c r="G23" s="1" t="s">
        <v>47</v>
      </c>
      <c r="H23" s="5">
        <v>8.4</v>
      </c>
      <c r="I23" s="5">
        <v>378.86470000000003</v>
      </c>
      <c r="J23" s="5">
        <v>0</v>
      </c>
    </row>
    <row r="24" spans="1:10" x14ac:dyDescent="0.35">
      <c r="A24" s="1" t="s">
        <v>86</v>
      </c>
      <c r="B24" s="1" t="s">
        <v>87</v>
      </c>
      <c r="C24" s="1" t="s">
        <v>60</v>
      </c>
      <c r="D24" s="1" t="s">
        <v>67</v>
      </c>
      <c r="E24" s="1" t="s">
        <v>63</v>
      </c>
      <c r="F24" s="1" t="s">
        <v>78</v>
      </c>
      <c r="G24" s="1" t="s">
        <v>47</v>
      </c>
      <c r="H24" s="5">
        <v>323.64999999999998</v>
      </c>
      <c r="I24" s="5">
        <v>321.01</v>
      </c>
      <c r="J24" s="5">
        <v>302.45</v>
      </c>
    </row>
    <row r="25" spans="1:10" x14ac:dyDescent="0.35">
      <c r="A25" s="1" t="s">
        <v>37</v>
      </c>
      <c r="B25" s="1" t="s">
        <v>38</v>
      </c>
      <c r="C25" s="1" t="s">
        <v>60</v>
      </c>
      <c r="D25" s="1" t="s">
        <v>61</v>
      </c>
      <c r="E25" s="1" t="s">
        <v>63</v>
      </c>
      <c r="F25" s="1" t="s">
        <v>62</v>
      </c>
      <c r="G25" s="1" t="s">
        <v>47</v>
      </c>
      <c r="H25" s="5">
        <v>1456.38</v>
      </c>
      <c r="I25" s="5">
        <v>159.61292299999999</v>
      </c>
      <c r="J25" s="5">
        <v>1278.3800000000001</v>
      </c>
    </row>
    <row r="26" spans="1:10" x14ac:dyDescent="0.35">
      <c r="A26" s="1" t="s">
        <v>88</v>
      </c>
      <c r="B26" s="1" t="s">
        <v>89</v>
      </c>
      <c r="C26" s="1" t="s">
        <v>60</v>
      </c>
      <c r="D26" s="1" t="s">
        <v>67</v>
      </c>
      <c r="E26" s="1" t="s">
        <v>63</v>
      </c>
      <c r="F26" s="1" t="s">
        <v>62</v>
      </c>
      <c r="G26" s="1" t="s">
        <v>47</v>
      </c>
      <c r="H26" s="5">
        <v>98</v>
      </c>
      <c r="I26" s="5">
        <v>390</v>
      </c>
      <c r="J26" s="5">
        <v>98</v>
      </c>
    </row>
    <row r="27" spans="1:10" x14ac:dyDescent="0.35">
      <c r="A27" s="1" t="s">
        <v>90</v>
      </c>
      <c r="B27" s="1" t="s">
        <v>91</v>
      </c>
      <c r="C27" s="1" t="s">
        <v>60</v>
      </c>
      <c r="D27" s="1" t="s">
        <v>67</v>
      </c>
      <c r="E27" s="1" t="s">
        <v>63</v>
      </c>
      <c r="F27" s="1" t="s">
        <v>62</v>
      </c>
      <c r="G27" s="1" t="s">
        <v>47</v>
      </c>
      <c r="H27" s="5">
        <v>106.25</v>
      </c>
      <c r="I27" s="5">
        <v>207.01986199999999</v>
      </c>
      <c r="J27" s="5">
        <v>106.25</v>
      </c>
    </row>
    <row r="28" spans="1:10" x14ac:dyDescent="0.35">
      <c r="A28" s="1" t="s">
        <v>92</v>
      </c>
      <c r="B28" s="1" t="s">
        <v>93</v>
      </c>
      <c r="C28" s="1" t="s">
        <v>60</v>
      </c>
      <c r="D28" s="1" t="s">
        <v>67</v>
      </c>
      <c r="E28" s="1" t="s">
        <v>63</v>
      </c>
      <c r="F28" s="1" t="s">
        <v>62</v>
      </c>
      <c r="G28" s="1" t="s">
        <v>47</v>
      </c>
      <c r="H28" s="5">
        <v>274</v>
      </c>
      <c r="I28" s="5">
        <v>175.553</v>
      </c>
      <c r="J28" s="5">
        <v>0</v>
      </c>
    </row>
    <row r="29" spans="1:10" x14ac:dyDescent="0.35">
      <c r="A29" s="1" t="s">
        <v>94</v>
      </c>
      <c r="B29" s="1" t="s">
        <v>95</v>
      </c>
      <c r="C29" s="1" t="s">
        <v>60</v>
      </c>
      <c r="D29" s="1" t="s">
        <v>67</v>
      </c>
      <c r="E29" s="1" t="s">
        <v>63</v>
      </c>
      <c r="F29" s="1" t="s">
        <v>62</v>
      </c>
      <c r="G29" s="1" t="s">
        <v>47</v>
      </c>
      <c r="H29" s="5">
        <v>112</v>
      </c>
      <c r="I29" s="5">
        <v>192</v>
      </c>
      <c r="J29" s="5">
        <v>112</v>
      </c>
    </row>
    <row r="30" spans="1:10" x14ac:dyDescent="0.35">
      <c r="A30" s="1" t="s">
        <v>96</v>
      </c>
      <c r="B30" s="1" t="s">
        <v>97</v>
      </c>
      <c r="C30" s="1" t="s">
        <v>60</v>
      </c>
      <c r="D30" s="1" t="s">
        <v>67</v>
      </c>
      <c r="E30" s="1" t="s">
        <v>63</v>
      </c>
      <c r="F30" s="1" t="s">
        <v>62</v>
      </c>
      <c r="G30" s="1" t="s">
        <v>47</v>
      </c>
      <c r="H30" s="5">
        <v>60</v>
      </c>
      <c r="I30" s="5">
        <v>138</v>
      </c>
      <c r="J30" s="5">
        <v>60</v>
      </c>
    </row>
    <row r="31" spans="1:10" x14ac:dyDescent="0.35">
      <c r="A31" s="1" t="s">
        <v>39</v>
      </c>
      <c r="B31" s="1" t="s">
        <v>40</v>
      </c>
      <c r="C31" s="1" t="s">
        <v>60</v>
      </c>
      <c r="D31" s="1" t="s">
        <v>67</v>
      </c>
      <c r="E31" s="1" t="s">
        <v>63</v>
      </c>
      <c r="F31" s="1" t="s">
        <v>62</v>
      </c>
      <c r="G31" s="1" t="s">
        <v>47</v>
      </c>
      <c r="H31" s="5">
        <v>1163.9000000000001</v>
      </c>
      <c r="I31" s="5">
        <v>260.725978</v>
      </c>
      <c r="J31" s="5">
        <v>677.5</v>
      </c>
    </row>
    <row r="32" spans="1:10" x14ac:dyDescent="0.35">
      <c r="A32" s="1" t="s">
        <v>41</v>
      </c>
      <c r="B32" s="1" t="s">
        <v>42</v>
      </c>
      <c r="C32" s="1" t="s">
        <v>60</v>
      </c>
      <c r="D32" s="1" t="s">
        <v>67</v>
      </c>
      <c r="E32" s="1" t="s">
        <v>63</v>
      </c>
      <c r="F32" s="1" t="s">
        <v>62</v>
      </c>
      <c r="G32" s="1" t="s">
        <v>47</v>
      </c>
      <c r="H32" s="5">
        <v>1775.01</v>
      </c>
      <c r="I32" s="5">
        <v>225.44036399999999</v>
      </c>
      <c r="J32" s="5">
        <v>1739.61</v>
      </c>
    </row>
    <row r="33" spans="1:10" x14ac:dyDescent="0.35">
      <c r="A33" s="1" t="s">
        <v>98</v>
      </c>
      <c r="B33" s="1" t="s">
        <v>99</v>
      </c>
      <c r="C33" s="1" t="s">
        <v>60</v>
      </c>
      <c r="D33" s="1" t="s">
        <v>67</v>
      </c>
      <c r="E33" s="1" t="s">
        <v>63</v>
      </c>
      <c r="F33" s="1" t="s">
        <v>62</v>
      </c>
      <c r="G33" s="1" t="s">
        <v>47</v>
      </c>
      <c r="H33" s="5">
        <v>50.6</v>
      </c>
      <c r="I33" s="5">
        <v>132.16999999999999</v>
      </c>
      <c r="J33" s="5">
        <v>50.6</v>
      </c>
    </row>
    <row r="34" spans="1:10" x14ac:dyDescent="0.35">
      <c r="A34" s="1" t="s">
        <v>43</v>
      </c>
      <c r="B34" s="1" t="s">
        <v>44</v>
      </c>
      <c r="C34" s="1" t="s">
        <v>60</v>
      </c>
      <c r="D34" s="1" t="s">
        <v>61</v>
      </c>
      <c r="E34" s="1" t="s">
        <v>63</v>
      </c>
      <c r="F34" s="1" t="s">
        <v>62</v>
      </c>
      <c r="G34" s="1" t="s">
        <v>47</v>
      </c>
      <c r="H34" s="5">
        <v>292.8</v>
      </c>
      <c r="I34" s="5">
        <v>54.016921000000004</v>
      </c>
      <c r="J34" s="5">
        <v>182.8</v>
      </c>
    </row>
    <row r="35" spans="1:10" x14ac:dyDescent="0.35">
      <c r="A35" s="1" t="s">
        <v>45</v>
      </c>
      <c r="B35" s="1" t="s">
        <v>46</v>
      </c>
      <c r="C35" s="1" t="s">
        <v>60</v>
      </c>
      <c r="D35" s="1" t="s">
        <v>61</v>
      </c>
      <c r="E35" s="1" t="s">
        <v>63</v>
      </c>
      <c r="F35" s="1" t="s">
        <v>62</v>
      </c>
      <c r="G35" s="1" t="s">
        <v>47</v>
      </c>
      <c r="H35" s="5">
        <v>1107.18</v>
      </c>
      <c r="I35" s="5">
        <v>48.486162999999998</v>
      </c>
      <c r="J35" s="5">
        <v>976.1</v>
      </c>
    </row>
    <row r="36" spans="1:10" x14ac:dyDescent="0.35">
      <c r="A36" s="1" t="s">
        <v>100</v>
      </c>
      <c r="B36" s="1" t="s">
        <v>101</v>
      </c>
      <c r="C36" s="1" t="s">
        <v>60</v>
      </c>
      <c r="D36" s="1" t="s">
        <v>67</v>
      </c>
      <c r="E36" s="1" t="s">
        <v>63</v>
      </c>
      <c r="F36" s="1" t="s">
        <v>62</v>
      </c>
      <c r="G36" s="1" t="s">
        <v>47</v>
      </c>
      <c r="H36" s="5">
        <v>473.2</v>
      </c>
      <c r="I36" s="5">
        <v>188.1</v>
      </c>
      <c r="J36" s="5">
        <v>473.2</v>
      </c>
    </row>
    <row r="38" spans="1:10" x14ac:dyDescent="0.35">
      <c r="A38" s="2" t="s">
        <v>102</v>
      </c>
      <c r="H38" s="6">
        <v>36186.078999999998</v>
      </c>
      <c r="J38" s="6">
        <v>31056.73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COMPRAS_ESTRATEGICAS</dc:creator>
  <cp:lastModifiedBy>Ernesto Usabiaga Berlanga</cp:lastModifiedBy>
  <dcterms:created xsi:type="dcterms:W3CDTF">2026-03-18T15:02:50Z</dcterms:created>
  <dcterms:modified xsi:type="dcterms:W3CDTF">2026-03-18T15:02:50Z</dcterms:modified>
</cp:coreProperties>
</file>